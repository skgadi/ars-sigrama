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esh\git\ars-sigrama\design\20251107-materials-list\"/>
    </mc:Choice>
  </mc:AlternateContent>
  <xr:revisionPtr revIDLastSave="0" documentId="13_ncr:1_{3826BD08-8371-445F-8080-5BDE9617F8A5}" xr6:coauthVersionLast="47" xr6:coauthVersionMax="47" xr10:uidLastSave="{00000000-0000-0000-0000-000000000000}"/>
  <bookViews>
    <workbookView xWindow="-120" yWindow="-120" windowWidth="24240" windowHeight="13020" xr2:uid="{53F401F1-5CA7-40B8-B77C-197E3E3C70EF}"/>
  </bookViews>
  <sheets>
    <sheet name="20251120-required" sheetId="2" r:id="rId1"/>
    <sheet name="20251120-optio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4" i="3"/>
  <c r="I15" i="2"/>
  <c r="I16" i="2"/>
  <c r="I14" i="2"/>
  <c r="I4" i="3"/>
  <c r="I3" i="3"/>
  <c r="I2" i="3"/>
  <c r="I13" i="3"/>
  <c r="I12" i="3"/>
  <c r="I11" i="3"/>
  <c r="I10" i="3"/>
  <c r="I9" i="3"/>
  <c r="I8" i="3"/>
  <c r="I7" i="3"/>
  <c r="I6" i="3"/>
  <c r="I5" i="3"/>
  <c r="I13" i="2"/>
  <c r="I12" i="2"/>
  <c r="I11" i="2"/>
  <c r="I10" i="2"/>
  <c r="I9" i="2"/>
  <c r="I8" i="2"/>
  <c r="I7" i="2"/>
  <c r="I6" i="2"/>
  <c r="I5" i="2"/>
  <c r="I4" i="2"/>
  <c r="I3" i="2"/>
  <c r="I2" i="2"/>
  <c r="I20" i="2" l="1"/>
</calcChain>
</file>

<file path=xl/sharedStrings.xml><?xml version="1.0" encoding="utf-8"?>
<sst xmlns="http://schemas.openxmlformats.org/spreadsheetml/2006/main" count="154" uniqueCount="123">
  <si>
    <t>Sl No</t>
  </si>
  <si>
    <t>Base element</t>
  </si>
  <si>
    <t>Part #</t>
  </si>
  <si>
    <t>Description</t>
  </si>
  <si>
    <t>Use</t>
  </si>
  <si>
    <t>Buy link</t>
  </si>
  <si>
    <t>ANN-MB2-00</t>
  </si>
  <si>
    <t>Antenas Multi-band (L1, L5) active GNSS antenna Standard Precision with 3 m cable and SMA connector</t>
  </si>
  <si>
    <t>Antena para GPS con alta precision en tiempo.</t>
  </si>
  <si>
    <t xml:space="preserve">https://www.u-blox.com/en/product/ann-mb2-antenna
</t>
  </si>
  <si>
    <t>https://mou.sr/4qNHED1</t>
  </si>
  <si>
    <t>RCB-F9T-1</t>
  </si>
  <si>
    <t>The RCB-F9T boards allow for easy evaluation and quick prototyping
with the ZED-F9T high accuracy timing modules.</t>
  </si>
  <si>
    <t>Can give precision of 5ns to our circuit</t>
  </si>
  <si>
    <t>https://www.u-blox.com/en/product/rcb-f9t-timing-board</t>
  </si>
  <si>
    <t>https://www.digikey.com.mx/short/tm38jzbq</t>
  </si>
  <si>
    <t>ESP32-P4-Function-EV-Board v1.5.2</t>
  </si>
  <si>
    <t>https://mou.sr/42TI8NF</t>
  </si>
  <si>
    <t>https://mou.sr/4nFAC0b</t>
  </si>
  <si>
    <t>https://www.mouser.com/datasheet/3/1032/1/nt.pdf</t>
  </si>
  <si>
    <t>SFSA240GM2AK1TO-C-8C-136-STD</t>
  </si>
  <si>
    <t>Discos en estado sólido (SSD) 240 GB - 3 V</t>
  </si>
  <si>
    <t>72913-2</t>
  </si>
  <si>
    <t>72913-0</t>
  </si>
  <si>
    <t>Enchufes de prueba PANEL MT IEC1010 4MM(0.16IN) JACK FOR SHEATHED PLUGS,TAB, 10/PKG (RED)</t>
  </si>
  <si>
    <t>Enchufes de prueba PANEL MT IEC1010 4MM(0.16IN) JACK FOR SHEATHED PLUGS,TAB, 10/PKG (BLACK)</t>
  </si>
  <si>
    <t>For connecting the voltage probes (Phases)</t>
  </si>
  <si>
    <t>For connecting the voltage probes (Neutral)</t>
  </si>
  <si>
    <t>https://www.pomonaelectronics.com/file/18189/download?token=K6N678h3</t>
  </si>
  <si>
    <t>https://mou.sr/3LU6HlT</t>
  </si>
  <si>
    <t>https://mou.sr/45Qowcw</t>
  </si>
  <si>
    <t>Rogowski coil</t>
  </si>
  <si>
    <t>UOM</t>
  </si>
  <si>
    <t>Amount</t>
  </si>
  <si>
    <t>Quantity</t>
  </si>
  <si>
    <t>PACK de 10</t>
  </si>
  <si>
    <t>Pza</t>
  </si>
  <si>
    <t>PACT RCP-D95</t>
  </si>
  <si>
    <t>Current sensor</t>
  </si>
  <si>
    <t>https://www.phoenixcontact.com/en-mx/products/coil-pact-rcp-d95-2904890</t>
  </si>
  <si>
    <t>Unit price (USD)</t>
  </si>
  <si>
    <t>Connector on the panel side</t>
  </si>
  <si>
    <t>Connector on the sensor side</t>
  </si>
  <si>
    <t>SC1113</t>
  </si>
  <si>
    <t>Computadoras de placa simple Raspberry Pi 5/16GB</t>
  </si>
  <si>
    <t>Raspberry Pi 5</t>
  </si>
  <si>
    <t>Main computer:
1. Accessing SSD
2. User Interface
3. Implementing algorithms</t>
  </si>
  <si>
    <t>Product information</t>
  </si>
  <si>
    <t>https://mou.sr/3LBm9Fv</t>
  </si>
  <si>
    <t>Piezas</t>
  </si>
  <si>
    <t>https://www.mouser.com/catalog/specsheets/Raspberry_Pi_5_Single%20Board%20Computer%20(SBC)%20v2%20Data%20Sheet%20dated%209-26-23.pdf</t>
  </si>
  <si>
    <t xml:space="preserve">ESP32-P4-Function-EV-Board </t>
  </si>
  <si>
    <t>ESP32 P4</t>
  </si>
  <si>
    <t>https://docs.espressif.com/projects/esp-dev-kits/en/latest/esp32p4/esp32-p4-function-ev-board/user_guide.html#esp32-p4-function-ev-board-v1-5-2</t>
  </si>
  <si>
    <t>SC1166</t>
  </si>
  <si>
    <t>HAT-Sombreros/placas complementarias Raspberry Pi M.2 HAT+ for Pi 5</t>
  </si>
  <si>
    <t>Conexion a M2 SSD</t>
  </si>
  <si>
    <t>https://mou.sr/4nY90DJ</t>
  </si>
  <si>
    <t>https://pip-assets.raspberrypi.com/categories/1268-raspberry-pi-m-2-hat-compact/documents/RP-009234-MM-1-Raspberry%20Pi%20M.2%20HAT_%20product%20brief.pdf?disposition=inline</t>
  </si>
  <si>
    <t>Guardar Datos como valores instentanios y ondas, curvas etc</t>
  </si>
  <si>
    <t>Why Optional</t>
  </si>
  <si>
    <t>Tengo una SSD Personal que puedo usar mientras. Pero para producción se necesita de marca buena como Swissbit para clidad de trabajo industriales</t>
  </si>
  <si>
    <t>GPS-21834</t>
  </si>
  <si>
    <t>The SAM-M10Q includes a built-in chip antenna and is compatible with the L1 band on all five GNSS constellations</t>
  </si>
  <si>
    <t>SAM-M10Q</t>
  </si>
  <si>
    <t>Medi tiempo, y posicion con precision:
60 ns en tiempo
1.5m en logitud</t>
  </si>
  <si>
    <t>https://mou.sr/3K9ZwYa</t>
  </si>
  <si>
    <t>https://www.sparkfun.com/sparkfun-gps-breakout-chip-antenna-sam-m10q-qwiic.html</t>
  </si>
  <si>
    <t>It is required only if we need very high precision in time</t>
  </si>
  <si>
    <t>https://mou.sr/3LVHzNt
(debe tener una manera de compra interna al sigrama)</t>
  </si>
  <si>
    <t>EGG.0K.303.CLL</t>
  </si>
  <si>
    <t>FGG.0K.303.CLAC50</t>
  </si>
  <si>
    <t>https://mou.sr/3X5r6J5</t>
  </si>
  <si>
    <t>Conectores circulares de presionar y jalar STRAIGHT PLUG MALE W. CABLE COLLET</t>
  </si>
  <si>
    <t>Conectores circulares de presionar y jalar 3P STRAIGHT FEMALE PNL MNT SOLDER</t>
  </si>
  <si>
    <t>https://mou.sr/4pj93v3</t>
  </si>
  <si>
    <t>FGG.0K.303.CLAC50Z</t>
  </si>
  <si>
    <t>https://www.lemo.com/int_en/solutions/originals/k-outdoor-keyed/fgg-0k-303-clac50.html</t>
  </si>
  <si>
    <t>https://www.lemo.com/int_en/solutions/originals/k-outdoor-keyed/egg-0k-303-cll.html</t>
  </si>
  <si>
    <t>Digilent Zybo Z7‑20</t>
  </si>
  <si>
    <t>https://digilent.com/shop/zybo-z7-zynq-7000-arm-fpga-soc-development-board/?srsltid=AfmBOoqB-b7qGqYXPJnd2gFRvSPVmV4eWlRfqFPZVsp86C60ZV_H7w6-</t>
  </si>
  <si>
    <t>Zybo Z7-20</t>
  </si>
  <si>
    <t>The Zybo Z7 is a ready-to-use embedded software and digital circuit development board built around the AMD Zynq™-7000 family. The Zynq-7000 tightly integrates a dual-core ARM Cortex-A9 processor with AMD 7-series Field Programmable Gate Array (FPGA) logic.</t>
  </si>
  <si>
    <t>This can be good idea to implement but design will be complex. May take more time and the results are not very different. However can be used for future projects.</t>
  </si>
  <si>
    <t>Dupont</t>
  </si>
  <si>
    <t>Conexion entre tarjetas</t>
  </si>
  <si>
    <t>AC/ DC TO DC 24-600V TO 12V 24V 2A Buck Converter voltage Regulator switching power supply AC 110V 220V 36V 48V 60V 72V 84V 96V</t>
  </si>
  <si>
    <t>https://es.aliexpress.com/item/1005005624426475.html</t>
  </si>
  <si>
    <t>Convertir 220VAC to 12VDC</t>
  </si>
  <si>
    <t>https://articulo.mercadolibre.com.mx/MLM-705157159-cables-jumpers-dupont-120-pzas-10-cm-proyectos-arduino-_JM#origin%3Dshare%26sid%3Dshare</t>
  </si>
  <si>
    <t>Juego de 120 piezas</t>
  </si>
  <si>
    <t>Electronic components + PCBs</t>
  </si>
  <si>
    <t>To prepare complimentary circuits for 
1. Current measurement
2. Voltaje measurement
3. Inidcator ciruits
4. Triggering circuits
5. Power management</t>
  </si>
  <si>
    <t>LS</t>
  </si>
  <si>
    <t>Elements to consider to prepare a in-house prototype</t>
  </si>
  <si>
    <t>Battery backup unit</t>
  </si>
  <si>
    <t>Enclosure with heat dessipation</t>
  </si>
  <si>
    <t>https://www.raspberrypi.com/products/touch-display-2/</t>
  </si>
  <si>
    <t>Raspberry Pi Touch Display 2 is a touchscreen portrait display for Raspberry Pi. It is ideal for interactive projects such as tablets, entertainment systems, and information dashboards. Available in 5-inch and 7-inch variants from $40.</t>
  </si>
  <si>
    <t>We can prepare a version without touchscreen display</t>
  </si>
  <si>
    <t>5'' Raspberry Pi Touch Display 2</t>
  </si>
  <si>
    <t>https://www.mercadolibre.com.mx/paquete-de-2-baterias-recargables-vapcell-p50-37v-5000mah/p/MLM2048500990?pdp_filters=item_id%3AMLM1901771075#origin%3Dshare%26sid%3Dshare%26wid%3DMLM1901771075</t>
  </si>
  <si>
    <t>Paquete De 2 Baterias Recargables Vapcell P50 3.7v 5000mah</t>
  </si>
  <si>
    <t>Pilas para Autonomia de Analizador</t>
  </si>
  <si>
    <t>1. Interfacing ADC
2. Interfac to GPS module</t>
  </si>
  <si>
    <t>Pack de 2</t>
  </si>
  <si>
    <t>P50</t>
  </si>
  <si>
    <t>https://www.waveshare.com/ups-hat-e.htm</t>
  </si>
  <si>
    <t>UPS HAT (E) (EN)</t>
  </si>
  <si>
    <t>UPS HAT (E) for Raspberry Pi, Supports 4× 21700 Li batteries (NOT included), Bi-Directional Fast charging, 5V 6A Output, Pogo Pins Connector, Raspberry Pi UPS</t>
  </si>
  <si>
    <t>BMS compatible con Raspberry Pi</t>
  </si>
  <si>
    <t>UPS HAT</t>
  </si>
  <si>
    <t>Total</t>
  </si>
  <si>
    <t>https://www.amazon.com.mx/SAMSUNG-Pro-Endurance-Tarjeta-Memoria/dp/B09WB3D5GQ</t>
  </si>
  <si>
    <t>Samsung Pro Endurance Tarjeta de Memoria MicroSDXC de 256 GB</t>
  </si>
  <si>
    <t>Tarjeta SD para ESP32</t>
  </si>
  <si>
    <t>256GB</t>
  </si>
  <si>
    <t>EVAL-AD7606C16FMCZ</t>
  </si>
  <si>
    <t>AD7606C-16 - 16 Bit 1M Samples per Second Analog to Digital Converter (ADC) Evaluation Board</t>
  </si>
  <si>
    <t xml:space="preserve"> AD7606C-16
and
 AD7606C-18</t>
  </si>
  <si>
    <t xml:space="preserve"> AD7606C-16 can be used with ±12.5V input and 8 channel and 16bit resolution at 1MSPS.</t>
  </si>
  <si>
    <t>https://www.digikey.com.mx/short/c3nhd5wc</t>
  </si>
  <si>
    <t>https://www.analog.com/en/products/ad7606c-16.html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</si>
</sst>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164" fontId="1" fillId="0" borderId="1" xfId="2" applyNumberFormat="1" applyFont="1" applyBorder="1" applyAlignment="1">
      <alignment horizontal="center" vertical="center" wrapText="1"/>
    </xf>
    <xf numFmtId="164" fontId="0" fillId="0" borderId="1" xfId="2" applyNumberFormat="1" applyFont="1" applyBorder="1" applyAlignment="1">
      <alignment vertical="center"/>
    </xf>
    <xf numFmtId="164" fontId="0" fillId="0" borderId="0" xfId="2" applyNumberFormat="1" applyFont="1" applyAlignment="1">
      <alignment vertical="center"/>
    </xf>
    <xf numFmtId="0" fontId="2" fillId="0" borderId="1" xfId="1" applyFill="1" applyBorder="1" applyAlignment="1">
      <alignment wrapText="1"/>
    </xf>
    <xf numFmtId="0" fontId="0" fillId="0" borderId="1" xfId="0" applyBorder="1" applyAlignment="1">
      <alignment horizontal="centerContinuous" vertical="center" wrapText="1"/>
    </xf>
    <xf numFmtId="0" fontId="0" fillId="0" borderId="1" xfId="0" applyBorder="1" applyAlignment="1">
      <alignment horizontal="centerContinuous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horizontal="centerContinuous" vertical="center"/>
    </xf>
    <xf numFmtId="0" fontId="2" fillId="0" borderId="1" xfId="1" applyBorder="1" applyAlignment="1">
      <alignment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sparkfun-gps-breakout-chip-antenna-sam-m10q-qwiic.html" TargetMode="External"/><Relationship Id="rId13" Type="http://schemas.openxmlformats.org/officeDocument/2006/relationships/hyperlink" Target="https://mou.sr/45Qowcw" TargetMode="External"/><Relationship Id="rId18" Type="http://schemas.openxmlformats.org/officeDocument/2006/relationships/hyperlink" Target="https://articulo.mercadolibre.com.mx/MLM-705157159-cables-jumpers-dupont-120-pzas-10-cm-proyectos-arduino-_JM" TargetMode="External"/><Relationship Id="rId3" Type="http://schemas.openxmlformats.org/officeDocument/2006/relationships/hyperlink" Target="https://mou.sr/42TI8NF" TargetMode="External"/><Relationship Id="rId21" Type="http://schemas.openxmlformats.org/officeDocument/2006/relationships/hyperlink" Target="https://www.amazon.com.mx/SAMSUNG-Pro-Endurance-Tarjeta-Memoria/dp/B09WB3D5GQ" TargetMode="External"/><Relationship Id="rId7" Type="http://schemas.openxmlformats.org/officeDocument/2006/relationships/hyperlink" Target="https://mou.sr/3K9ZwYa" TargetMode="External"/><Relationship Id="rId12" Type="http://schemas.openxmlformats.org/officeDocument/2006/relationships/hyperlink" Target="https://mou.sr/3LU6HlT" TargetMode="External"/><Relationship Id="rId17" Type="http://schemas.openxmlformats.org/officeDocument/2006/relationships/hyperlink" Target="https://es.aliexpress.com/item/1005005624426475.html" TargetMode="External"/><Relationship Id="rId2" Type="http://schemas.openxmlformats.org/officeDocument/2006/relationships/hyperlink" Target="https://www.mouser.com/catalog/specsheets/Raspberry_Pi_5_Single%20Board%20Computer%20(SBC)%20v2%20Data%20Sheet%20dated%209-26-23.pdf" TargetMode="External"/><Relationship Id="rId16" Type="http://schemas.openxmlformats.org/officeDocument/2006/relationships/hyperlink" Target="https://www.lemo.com/int_en/solutions/originals/k-outdoor-keyed/egg-0k-303-cll.html" TargetMode="External"/><Relationship Id="rId20" Type="http://schemas.openxmlformats.org/officeDocument/2006/relationships/hyperlink" Target="https://www.waveshare.com/ups-hat-e.htm" TargetMode="External"/><Relationship Id="rId1" Type="http://schemas.openxmlformats.org/officeDocument/2006/relationships/hyperlink" Target="https://mou.sr/3LBm9Fv" TargetMode="External"/><Relationship Id="rId6" Type="http://schemas.openxmlformats.org/officeDocument/2006/relationships/hyperlink" Target="https://pip-assets.raspberrypi.com/categories/1268-raspberry-pi-m-2-hat-compact/documents/RP-009234-MM-1-Raspberry%20Pi%20M.2%20HAT_%20product%20brief.pdf?disposition=inline" TargetMode="External"/><Relationship Id="rId11" Type="http://schemas.openxmlformats.org/officeDocument/2006/relationships/hyperlink" Target="https://www.phoenixcontact.com/en-mx/products/coil-pact-rcp-d95-2904890" TargetMode="External"/><Relationship Id="rId5" Type="http://schemas.openxmlformats.org/officeDocument/2006/relationships/hyperlink" Target="https://mou.sr/4nY90DJ" TargetMode="External"/><Relationship Id="rId15" Type="http://schemas.openxmlformats.org/officeDocument/2006/relationships/hyperlink" Target="https://www.lemo.com/int_en/solutions/originals/k-outdoor-keyed/fgg-0k-303-clac50.html" TargetMode="External"/><Relationship Id="rId23" Type="http://schemas.openxmlformats.org/officeDocument/2006/relationships/hyperlink" Target="https://www.analog.com/en/products/ad7606c-16.html" TargetMode="External"/><Relationship Id="rId10" Type="http://schemas.openxmlformats.org/officeDocument/2006/relationships/hyperlink" Target="https://www.pomonaelectronics.com/file/18189/download?token=K6N678h3" TargetMode="External"/><Relationship Id="rId19" Type="http://schemas.openxmlformats.org/officeDocument/2006/relationships/hyperlink" Target="https://www.mercadolibre.com.mx/paquete-de-2-baterias-recargables-vapcell-p50-37v-5000mah/p/MLM2048500990?pdp_filters=item_id%3AMLM1901771075" TargetMode="External"/><Relationship Id="rId4" Type="http://schemas.openxmlformats.org/officeDocument/2006/relationships/hyperlink" Target="https://docs.espressif.com/projects/esp-dev-kits/en/latest/esp32p4/esp32-p4-function-ev-board/user_guide.html" TargetMode="External"/><Relationship Id="rId9" Type="http://schemas.openxmlformats.org/officeDocument/2006/relationships/hyperlink" Target="https://www.pomonaelectronics.com/file/18189/download?token=K6N678h3" TargetMode="External"/><Relationship Id="rId14" Type="http://schemas.openxmlformats.org/officeDocument/2006/relationships/hyperlink" Target="https://mou.sr/3LVHzNt(debe%20tener%20una%20manera%20de%20compra%20interna%20al%20sigrama)" TargetMode="External"/><Relationship Id="rId22" Type="http://schemas.openxmlformats.org/officeDocument/2006/relationships/hyperlink" Target="https://www.digikey.com.mx/short/c3nhd5w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spberrypi.com/products/touch-display-2/" TargetMode="External"/><Relationship Id="rId3" Type="http://schemas.openxmlformats.org/officeDocument/2006/relationships/hyperlink" Target="https://www.digikey.com.mx/short/tm38jzbq" TargetMode="External"/><Relationship Id="rId7" Type="http://schemas.openxmlformats.org/officeDocument/2006/relationships/hyperlink" Target="https://digilent.com/shop/zybo-z7-zynq-7000-arm-fpga-soc-development-board/?srsltid=AfmBOoqB-b7qGqYXPJnd2gFRvSPVmV4eWlRfqFPZVsp86C60ZV_H7w6-" TargetMode="External"/><Relationship Id="rId2" Type="http://schemas.openxmlformats.org/officeDocument/2006/relationships/hyperlink" Target="https://mou.sr/4nFAC0b" TargetMode="External"/><Relationship Id="rId1" Type="http://schemas.openxmlformats.org/officeDocument/2006/relationships/hyperlink" Target="https://www.mouser.com/datasheet/3/1032/1/nt.pdf" TargetMode="External"/><Relationship Id="rId6" Type="http://schemas.openxmlformats.org/officeDocument/2006/relationships/hyperlink" Target="https://www.u-blox.com/en/product/ann-mb2-antenna" TargetMode="External"/><Relationship Id="rId5" Type="http://schemas.openxmlformats.org/officeDocument/2006/relationships/hyperlink" Target="https://www.u-blox.com/en/product/rcb-f9t-timing-board" TargetMode="External"/><Relationship Id="rId4" Type="http://schemas.openxmlformats.org/officeDocument/2006/relationships/hyperlink" Target="https://mou.sr/4qNHED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98EB-3255-4F6D-B3C1-0933671F7425}">
  <dimension ref="A1:K27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defaultRowHeight="15" x14ac:dyDescent="0.25"/>
  <cols>
    <col min="1" max="1" width="9.140625" style="1"/>
    <col min="2" max="2" width="12.28515625" style="2" bestFit="1" customWidth="1"/>
    <col min="3" max="3" width="25.5703125" style="2" bestFit="1" customWidth="1"/>
    <col min="4" max="4" width="19.28515625" style="1" customWidth="1"/>
    <col min="5" max="5" width="25.5703125" style="2" bestFit="1" customWidth="1"/>
    <col min="6" max="6" width="10.5703125" style="2" bestFit="1" customWidth="1"/>
    <col min="7" max="7" width="9.140625" style="1"/>
    <col min="8" max="8" width="9.140625" style="10"/>
    <col min="9" max="9" width="10.5703125" style="10" bestFit="1" customWidth="1"/>
    <col min="10" max="10" width="45" style="2" customWidth="1"/>
    <col min="11" max="11" width="25.5703125" style="2" bestFit="1" customWidth="1"/>
    <col min="12" max="16384" width="9.140625" style="1"/>
  </cols>
  <sheetData>
    <row r="1" spans="1:11" ht="45" x14ac:dyDescent="0.25">
      <c r="A1" s="3" t="s">
        <v>0</v>
      </c>
      <c r="B1" s="4" t="s">
        <v>2</v>
      </c>
      <c r="C1" s="4" t="s">
        <v>3</v>
      </c>
      <c r="D1" s="4" t="s">
        <v>1</v>
      </c>
      <c r="E1" s="4" t="s">
        <v>4</v>
      </c>
      <c r="F1" s="4" t="s">
        <v>32</v>
      </c>
      <c r="G1" s="4" t="s">
        <v>34</v>
      </c>
      <c r="H1" s="8" t="s">
        <v>40</v>
      </c>
      <c r="I1" s="8" t="s">
        <v>33</v>
      </c>
      <c r="J1" s="4" t="s">
        <v>47</v>
      </c>
      <c r="K1" s="4" t="s">
        <v>5</v>
      </c>
    </row>
    <row r="2" spans="1:11" ht="75" x14ac:dyDescent="0.25">
      <c r="A2" s="5">
        <v>1</v>
      </c>
      <c r="B2" s="6" t="s">
        <v>43</v>
      </c>
      <c r="C2" s="6" t="s">
        <v>44</v>
      </c>
      <c r="D2" s="5" t="s">
        <v>45</v>
      </c>
      <c r="E2" s="6" t="s">
        <v>46</v>
      </c>
      <c r="F2" s="6" t="s">
        <v>49</v>
      </c>
      <c r="G2" s="5">
        <v>1</v>
      </c>
      <c r="H2" s="9">
        <v>120</v>
      </c>
      <c r="I2" s="9">
        <f>G2*H2</f>
        <v>120</v>
      </c>
      <c r="J2" s="7" t="s">
        <v>50</v>
      </c>
      <c r="K2" s="7" t="s">
        <v>48</v>
      </c>
    </row>
    <row r="3" spans="1:11" ht="90" x14ac:dyDescent="0.25">
      <c r="A3" s="5">
        <v>2</v>
      </c>
      <c r="B3" s="6" t="s">
        <v>54</v>
      </c>
      <c r="C3" s="6" t="s">
        <v>55</v>
      </c>
      <c r="D3" s="5" t="s">
        <v>45</v>
      </c>
      <c r="E3" s="6" t="s">
        <v>56</v>
      </c>
      <c r="F3" s="6" t="s">
        <v>49</v>
      </c>
      <c r="G3" s="5">
        <v>1</v>
      </c>
      <c r="H3" s="9">
        <v>12</v>
      </c>
      <c r="I3" s="9">
        <f t="shared" ref="I3:I13" si="0">G3*H3</f>
        <v>12</v>
      </c>
      <c r="J3" s="7" t="s">
        <v>58</v>
      </c>
      <c r="K3" s="7" t="s">
        <v>57</v>
      </c>
    </row>
    <row r="4" spans="1:11" ht="60" x14ac:dyDescent="0.25">
      <c r="A4" s="5">
        <v>3</v>
      </c>
      <c r="B4" s="6" t="s">
        <v>51</v>
      </c>
      <c r="C4" s="6" t="s">
        <v>16</v>
      </c>
      <c r="D4" s="5" t="s">
        <v>52</v>
      </c>
      <c r="E4" s="6" t="s">
        <v>104</v>
      </c>
      <c r="F4" s="6" t="s">
        <v>49</v>
      </c>
      <c r="G4" s="5">
        <v>1</v>
      </c>
      <c r="H4" s="9">
        <v>60</v>
      </c>
      <c r="I4" s="9">
        <f t="shared" si="0"/>
        <v>60</v>
      </c>
      <c r="J4" s="7" t="s">
        <v>53</v>
      </c>
      <c r="K4" s="7" t="s">
        <v>17</v>
      </c>
    </row>
    <row r="5" spans="1:11" ht="60" x14ac:dyDescent="0.25">
      <c r="A5" s="5">
        <v>4</v>
      </c>
      <c r="B5" s="6" t="s">
        <v>117</v>
      </c>
      <c r="C5" s="6" t="s">
        <v>118</v>
      </c>
      <c r="D5" s="6" t="s">
        <v>119</v>
      </c>
      <c r="E5" s="6" t="s">
        <v>120</v>
      </c>
      <c r="F5" s="6" t="s">
        <v>49</v>
      </c>
      <c r="G5" s="5">
        <v>1</v>
      </c>
      <c r="H5" s="9">
        <v>80</v>
      </c>
      <c r="I5" s="9">
        <f t="shared" si="0"/>
        <v>80</v>
      </c>
      <c r="J5" s="18" t="s">
        <v>122</v>
      </c>
      <c r="K5" s="7" t="s">
        <v>121</v>
      </c>
    </row>
    <row r="6" spans="1:11" ht="75" x14ac:dyDescent="0.25">
      <c r="A6" s="5">
        <v>5</v>
      </c>
      <c r="B6" s="6" t="s">
        <v>62</v>
      </c>
      <c r="C6" s="6" t="s">
        <v>63</v>
      </c>
      <c r="D6" s="5" t="s">
        <v>64</v>
      </c>
      <c r="E6" s="6" t="s">
        <v>65</v>
      </c>
      <c r="F6" s="6" t="s">
        <v>49</v>
      </c>
      <c r="G6" s="5">
        <v>1</v>
      </c>
      <c r="H6" s="9">
        <v>70</v>
      </c>
      <c r="I6" s="9">
        <f t="shared" si="0"/>
        <v>70</v>
      </c>
      <c r="J6" s="7" t="s">
        <v>67</v>
      </c>
      <c r="K6" s="7" t="s">
        <v>66</v>
      </c>
    </row>
    <row r="7" spans="1:11" ht="60" x14ac:dyDescent="0.25">
      <c r="A7" s="5">
        <v>6</v>
      </c>
      <c r="B7" s="6" t="s">
        <v>22</v>
      </c>
      <c r="C7" s="6" t="s">
        <v>24</v>
      </c>
      <c r="D7" s="5">
        <v>72913</v>
      </c>
      <c r="E7" s="6" t="s">
        <v>26</v>
      </c>
      <c r="F7" s="6" t="s">
        <v>35</v>
      </c>
      <c r="G7" s="5">
        <v>1</v>
      </c>
      <c r="H7" s="9">
        <v>50</v>
      </c>
      <c r="I7" s="9">
        <f t="shared" si="0"/>
        <v>50</v>
      </c>
      <c r="J7" s="7" t="s">
        <v>28</v>
      </c>
      <c r="K7" s="7" t="s">
        <v>29</v>
      </c>
    </row>
    <row r="8" spans="1:11" ht="60" x14ac:dyDescent="0.25">
      <c r="A8" s="5">
        <v>7</v>
      </c>
      <c r="B8" s="6" t="s">
        <v>23</v>
      </c>
      <c r="C8" s="6" t="s">
        <v>25</v>
      </c>
      <c r="D8" s="5">
        <v>72913</v>
      </c>
      <c r="E8" s="6" t="s">
        <v>27</v>
      </c>
      <c r="F8" s="6" t="s">
        <v>35</v>
      </c>
      <c r="G8" s="5">
        <v>1</v>
      </c>
      <c r="H8" s="9">
        <v>50</v>
      </c>
      <c r="I8" s="9">
        <f t="shared" si="0"/>
        <v>50</v>
      </c>
      <c r="J8" s="7" t="s">
        <v>28</v>
      </c>
      <c r="K8" s="7" t="s">
        <v>30</v>
      </c>
    </row>
    <row r="9" spans="1:11" ht="75" x14ac:dyDescent="0.25">
      <c r="A9" s="5">
        <v>8</v>
      </c>
      <c r="B9" s="6" t="s">
        <v>37</v>
      </c>
      <c r="C9" s="6" t="s">
        <v>31</v>
      </c>
      <c r="D9" s="5" t="s">
        <v>37</v>
      </c>
      <c r="E9" s="6" t="s">
        <v>38</v>
      </c>
      <c r="F9" s="6" t="s">
        <v>36</v>
      </c>
      <c r="G9" s="5">
        <v>4</v>
      </c>
      <c r="H9" s="9">
        <v>170</v>
      </c>
      <c r="I9" s="9">
        <f t="shared" si="0"/>
        <v>680</v>
      </c>
      <c r="J9" s="7" t="s">
        <v>39</v>
      </c>
      <c r="K9" s="11" t="s">
        <v>69</v>
      </c>
    </row>
    <row r="10" spans="1:11" ht="60" x14ac:dyDescent="0.25">
      <c r="A10" s="5">
        <v>9</v>
      </c>
      <c r="B10" s="6" t="s">
        <v>70</v>
      </c>
      <c r="C10" s="6" t="s">
        <v>74</v>
      </c>
      <c r="D10" s="5" t="s">
        <v>70</v>
      </c>
      <c r="E10" s="6" t="s">
        <v>41</v>
      </c>
      <c r="F10" s="6" t="s">
        <v>36</v>
      </c>
      <c r="G10" s="5">
        <v>4</v>
      </c>
      <c r="H10" s="9">
        <v>50</v>
      </c>
      <c r="I10" s="9">
        <f t="shared" si="0"/>
        <v>200</v>
      </c>
      <c r="J10" s="7" t="s">
        <v>78</v>
      </c>
      <c r="K10" s="6" t="s">
        <v>75</v>
      </c>
    </row>
    <row r="11" spans="1:11" ht="60" x14ac:dyDescent="0.25">
      <c r="A11" s="5">
        <v>10</v>
      </c>
      <c r="B11" s="6" t="s">
        <v>76</v>
      </c>
      <c r="C11" s="6" t="s">
        <v>73</v>
      </c>
      <c r="D11" s="5" t="s">
        <v>71</v>
      </c>
      <c r="E11" s="6" t="s">
        <v>42</v>
      </c>
      <c r="F11" s="6" t="s">
        <v>36</v>
      </c>
      <c r="G11" s="5">
        <v>4</v>
      </c>
      <c r="H11" s="9">
        <v>62</v>
      </c>
      <c r="I11" s="9">
        <f t="shared" si="0"/>
        <v>248</v>
      </c>
      <c r="J11" s="7" t="s">
        <v>77</v>
      </c>
      <c r="K11" s="6" t="s">
        <v>72</v>
      </c>
    </row>
    <row r="12" spans="1:11" ht="105" x14ac:dyDescent="0.25">
      <c r="A12" s="5">
        <v>11</v>
      </c>
      <c r="B12" s="6"/>
      <c r="C12" s="6" t="s">
        <v>84</v>
      </c>
      <c r="D12" s="5"/>
      <c r="E12" s="6" t="s">
        <v>85</v>
      </c>
      <c r="F12" s="6" t="s">
        <v>90</v>
      </c>
      <c r="G12" s="5">
        <v>3</v>
      </c>
      <c r="H12" s="9">
        <v>4</v>
      </c>
      <c r="I12" s="9">
        <f t="shared" si="0"/>
        <v>12</v>
      </c>
      <c r="J12" s="6"/>
      <c r="K12" s="7" t="s">
        <v>89</v>
      </c>
    </row>
    <row r="13" spans="1:11" ht="75" x14ac:dyDescent="0.25">
      <c r="A13" s="5">
        <v>12</v>
      </c>
      <c r="B13" s="6"/>
      <c r="C13" s="6" t="s">
        <v>86</v>
      </c>
      <c r="D13" s="5"/>
      <c r="E13" s="6" t="s">
        <v>88</v>
      </c>
      <c r="F13" s="6" t="s">
        <v>36</v>
      </c>
      <c r="G13" s="5">
        <v>1</v>
      </c>
      <c r="H13" s="9">
        <v>10</v>
      </c>
      <c r="I13" s="9">
        <f t="shared" si="0"/>
        <v>10</v>
      </c>
      <c r="J13" s="6"/>
      <c r="K13" s="7" t="s">
        <v>87</v>
      </c>
    </row>
    <row r="14" spans="1:11" ht="105" x14ac:dyDescent="0.25">
      <c r="A14" s="5">
        <v>13</v>
      </c>
      <c r="B14" s="6"/>
      <c r="C14" s="6" t="s">
        <v>91</v>
      </c>
      <c r="D14" s="5"/>
      <c r="E14" s="6" t="s">
        <v>92</v>
      </c>
      <c r="F14" s="6" t="s">
        <v>93</v>
      </c>
      <c r="G14" s="5">
        <v>1</v>
      </c>
      <c r="H14" s="9">
        <v>300</v>
      </c>
      <c r="I14" s="9">
        <f t="shared" ref="I14:I17" si="1">G14*H14</f>
        <v>300</v>
      </c>
      <c r="J14" s="6"/>
      <c r="K14" s="7"/>
    </row>
    <row r="15" spans="1:11" ht="105" x14ac:dyDescent="0.25">
      <c r="A15" s="5">
        <v>14</v>
      </c>
      <c r="B15" s="6" t="s">
        <v>108</v>
      </c>
      <c r="C15" s="6" t="s">
        <v>109</v>
      </c>
      <c r="D15" s="5" t="s">
        <v>111</v>
      </c>
      <c r="E15" s="6" t="s">
        <v>110</v>
      </c>
      <c r="F15" s="6" t="s">
        <v>36</v>
      </c>
      <c r="G15" s="5">
        <v>1</v>
      </c>
      <c r="H15" s="9">
        <v>35</v>
      </c>
      <c r="I15" s="9">
        <f t="shared" si="1"/>
        <v>35</v>
      </c>
      <c r="J15" s="7" t="s">
        <v>107</v>
      </c>
      <c r="K15" s="7"/>
    </row>
    <row r="16" spans="1:11" ht="135" x14ac:dyDescent="0.25">
      <c r="A16" s="5">
        <v>15</v>
      </c>
      <c r="B16" s="6" t="s">
        <v>106</v>
      </c>
      <c r="C16" s="6" t="s">
        <v>102</v>
      </c>
      <c r="D16" s="5">
        <v>21700</v>
      </c>
      <c r="E16" s="6" t="s">
        <v>103</v>
      </c>
      <c r="F16" s="6" t="s">
        <v>105</v>
      </c>
      <c r="G16" s="5">
        <v>2</v>
      </c>
      <c r="H16" s="9">
        <v>30</v>
      </c>
      <c r="I16" s="9">
        <f t="shared" si="1"/>
        <v>60</v>
      </c>
      <c r="J16" s="6"/>
      <c r="K16" s="7" t="s">
        <v>101</v>
      </c>
    </row>
    <row r="17" spans="1:11" ht="60" x14ac:dyDescent="0.25">
      <c r="A17" s="5">
        <v>16</v>
      </c>
      <c r="B17" s="6"/>
      <c r="C17" s="6" t="s">
        <v>114</v>
      </c>
      <c r="D17" s="5" t="s">
        <v>116</v>
      </c>
      <c r="E17" s="6" t="s">
        <v>115</v>
      </c>
      <c r="F17" s="6" t="s">
        <v>49</v>
      </c>
      <c r="G17" s="5">
        <v>1</v>
      </c>
      <c r="H17" s="9">
        <v>30</v>
      </c>
      <c r="I17" s="9">
        <f t="shared" si="1"/>
        <v>30</v>
      </c>
      <c r="J17" s="6"/>
      <c r="K17" s="7" t="s">
        <v>113</v>
      </c>
    </row>
    <row r="18" spans="1:11" x14ac:dyDescent="0.25">
      <c r="A18" s="5"/>
      <c r="B18" s="6"/>
      <c r="C18" s="6"/>
      <c r="D18" s="5"/>
      <c r="E18" s="6"/>
      <c r="F18" s="6"/>
      <c r="G18" s="5"/>
      <c r="H18" s="9"/>
      <c r="I18" s="9"/>
      <c r="J18" s="6"/>
      <c r="K18" s="7"/>
    </row>
    <row r="19" spans="1:11" x14ac:dyDescent="0.25">
      <c r="A19" s="5"/>
      <c r="B19" s="6"/>
      <c r="C19" s="6"/>
      <c r="D19" s="5"/>
      <c r="E19" s="6"/>
      <c r="F19" s="6"/>
      <c r="G19" s="5"/>
      <c r="H19" s="9"/>
      <c r="I19" s="9"/>
      <c r="J19" s="6"/>
      <c r="K19" s="7"/>
    </row>
    <row r="20" spans="1:11" x14ac:dyDescent="0.25">
      <c r="A20" s="5"/>
      <c r="B20" s="12" t="s">
        <v>112</v>
      </c>
      <c r="C20" s="12"/>
      <c r="D20" s="13"/>
      <c r="E20" s="12"/>
      <c r="F20" s="12"/>
      <c r="G20" s="13"/>
      <c r="H20" s="9"/>
      <c r="I20" s="9">
        <f>SUM(I2:I19)</f>
        <v>2017</v>
      </c>
      <c r="J20" s="6"/>
      <c r="K20" s="6"/>
    </row>
    <row r="25" spans="1:11" x14ac:dyDescent="0.25">
      <c r="A25" s="1" t="s">
        <v>94</v>
      </c>
      <c r="B25" s="1"/>
    </row>
    <row r="26" spans="1:11" ht="30" x14ac:dyDescent="0.25">
      <c r="A26" s="1">
        <v>1</v>
      </c>
      <c r="B26" s="2" t="s">
        <v>95</v>
      </c>
    </row>
    <row r="27" spans="1:11" ht="45" x14ac:dyDescent="0.25">
      <c r="A27" s="1">
        <v>2</v>
      </c>
      <c r="B27" s="2" t="s">
        <v>96</v>
      </c>
    </row>
  </sheetData>
  <hyperlinks>
    <hyperlink ref="K2" r:id="rId1" xr:uid="{9B587626-EFEF-43D1-87E8-C220050E7DF4}"/>
    <hyperlink ref="J2" r:id="rId2" xr:uid="{062701AA-849A-494B-B959-3CD22376AB56}"/>
    <hyperlink ref="K4" r:id="rId3" xr:uid="{A221B462-1844-4CAB-A065-D026647487D0}"/>
    <hyperlink ref="J4" r:id="rId4" location="esp32-p4-function-ev-board-v1-5-2" xr:uid="{7BBC8EB5-C020-4BCE-ABB7-B4947922D0E5}"/>
    <hyperlink ref="K3" r:id="rId5" xr:uid="{B77504AA-AA3D-4152-981A-9C6FCF7B5B37}"/>
    <hyperlink ref="J3" r:id="rId6" xr:uid="{3BAE2654-094A-4A58-81AF-8792F66DA710}"/>
    <hyperlink ref="K6" r:id="rId7" xr:uid="{51B31CDB-9C02-4414-BE86-027072C15BDB}"/>
    <hyperlink ref="J6" r:id="rId8" xr:uid="{D9714CEE-72B9-4F1D-8FD1-8D9BDEF0F358}"/>
    <hyperlink ref="J7" r:id="rId9" xr:uid="{B4F141CB-DFAF-4311-AD6F-FFC9CC7E4B53}"/>
    <hyperlink ref="J8" r:id="rId10" xr:uid="{BB5FF3C0-D003-4C00-9BBD-D757E060DD47}"/>
    <hyperlink ref="J9" r:id="rId11" xr:uid="{564ABBFB-52A8-44E6-BF48-7FE46D05003D}"/>
    <hyperlink ref="K7" r:id="rId12" xr:uid="{9831B52D-E2E2-4FFB-892E-0DAD44AFECEA}"/>
    <hyperlink ref="K8" r:id="rId13" xr:uid="{938A934E-1B72-4D75-B333-F44AF751194B}"/>
    <hyperlink ref="K9" r:id="rId14" xr:uid="{D1E1F3F5-5EA5-4458-B483-617BF662A044}"/>
    <hyperlink ref="J11" r:id="rId15" xr:uid="{8AE5093F-D714-49C6-8E7B-EE5364B55412}"/>
    <hyperlink ref="J10" r:id="rId16" xr:uid="{22C63C0C-A5EC-4B6A-AEA7-16EFBFC466AF}"/>
    <hyperlink ref="K13" r:id="rId17" xr:uid="{7A4E6CA9-981D-48F1-9BB3-EFA9C5F9FCC4}"/>
    <hyperlink ref="K12" r:id="rId18" location="origin%3Dshare%26sid%3Dshare" xr:uid="{34B68E16-EB01-4870-B149-865A96488704}"/>
    <hyperlink ref="K16" r:id="rId19" location="origin%3Dshare%26sid%3Dshare%26wid%3DMLM1901771075" xr:uid="{8BBEAFAE-F304-4B6E-AC37-7F10D5D0E7DF}"/>
    <hyperlink ref="J15" r:id="rId20" xr:uid="{FC2A106D-2062-4056-A1A0-05B49980EDF2}"/>
    <hyperlink ref="K17" r:id="rId21" xr:uid="{5C0005C3-C19B-4A57-AC13-9FE1A6E9DD58}"/>
    <hyperlink ref="K5" r:id="rId22" xr:uid="{155C171F-DD6E-48A2-B9F9-8009A03085DF}"/>
    <hyperlink ref="J5" r:id="rId23" xr:uid="{AF9EF02B-9E2A-4D5B-9174-4457B6FC9D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57DC-24D5-4A1C-BD62-D2E1C681B6E1}">
  <dimension ref="A1:K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5.7109375" style="1" bestFit="1" customWidth="1"/>
    <col min="2" max="2" width="14.140625" style="2" customWidth="1"/>
    <col min="3" max="3" width="22.42578125" style="2" bestFit="1" customWidth="1"/>
    <col min="4" max="4" width="24.7109375" style="2" bestFit="1" customWidth="1"/>
    <col min="5" max="5" width="20.42578125" style="2" bestFit="1" customWidth="1"/>
    <col min="6" max="6" width="6.7109375" style="1" bestFit="1" customWidth="1"/>
    <col min="7" max="7" width="8.7109375" style="1" bestFit="1" customWidth="1"/>
    <col min="8" max="8" width="9" style="16" bestFit="1" customWidth="1"/>
    <col min="9" max="9" width="10.5703125" style="16" bestFit="1" customWidth="1"/>
    <col min="10" max="10" width="33.5703125" style="2" bestFit="1" customWidth="1"/>
    <col min="11" max="11" width="22.42578125" style="2" bestFit="1" customWidth="1"/>
  </cols>
  <sheetData>
    <row r="1" spans="1:11" ht="45" x14ac:dyDescent="0.25">
      <c r="A1" s="3" t="s">
        <v>0</v>
      </c>
      <c r="B1" s="4" t="s">
        <v>2</v>
      </c>
      <c r="C1" s="4" t="s">
        <v>3</v>
      </c>
      <c r="D1" s="4" t="s">
        <v>60</v>
      </c>
      <c r="E1" s="4" t="s">
        <v>4</v>
      </c>
      <c r="F1" s="4" t="s">
        <v>32</v>
      </c>
      <c r="G1" s="4" t="s">
        <v>34</v>
      </c>
      <c r="H1" s="14" t="s">
        <v>40</v>
      </c>
      <c r="I1" s="14" t="s">
        <v>33</v>
      </c>
      <c r="J1" s="4" t="s">
        <v>47</v>
      </c>
      <c r="K1" s="4" t="s">
        <v>5</v>
      </c>
    </row>
    <row r="2" spans="1:11" ht="90" x14ac:dyDescent="0.25">
      <c r="A2" s="5">
        <v>1</v>
      </c>
      <c r="B2" s="6" t="s">
        <v>20</v>
      </c>
      <c r="C2" s="6" t="s">
        <v>21</v>
      </c>
      <c r="D2" s="6" t="s">
        <v>61</v>
      </c>
      <c r="E2" s="6" t="s">
        <v>59</v>
      </c>
      <c r="F2" s="5" t="s">
        <v>49</v>
      </c>
      <c r="G2" s="5">
        <v>1</v>
      </c>
      <c r="H2" s="15">
        <v>175</v>
      </c>
      <c r="I2" s="15">
        <f t="shared" ref="I2:I13" si="0">G2*H2</f>
        <v>175</v>
      </c>
      <c r="J2" s="7" t="s">
        <v>19</v>
      </c>
      <c r="K2" s="7" t="s">
        <v>18</v>
      </c>
    </row>
    <row r="3" spans="1:11" ht="105" x14ac:dyDescent="0.25">
      <c r="A3" s="5">
        <v>2</v>
      </c>
      <c r="B3" s="6" t="s">
        <v>11</v>
      </c>
      <c r="C3" s="6" t="s">
        <v>12</v>
      </c>
      <c r="D3" s="6" t="s">
        <v>68</v>
      </c>
      <c r="E3" s="6" t="s">
        <v>13</v>
      </c>
      <c r="F3" s="5" t="s">
        <v>49</v>
      </c>
      <c r="G3" s="5">
        <v>1</v>
      </c>
      <c r="H3" s="15">
        <v>280</v>
      </c>
      <c r="I3" s="15">
        <f t="shared" si="0"/>
        <v>280</v>
      </c>
      <c r="J3" s="7" t="s">
        <v>14</v>
      </c>
      <c r="K3" s="7" t="s">
        <v>15</v>
      </c>
    </row>
    <row r="4" spans="1:11" ht="75" x14ac:dyDescent="0.25">
      <c r="A4" s="5">
        <v>3</v>
      </c>
      <c r="B4" s="6" t="s">
        <v>6</v>
      </c>
      <c r="C4" s="6" t="s">
        <v>7</v>
      </c>
      <c r="D4" s="6" t="s">
        <v>68</v>
      </c>
      <c r="E4" s="6" t="s">
        <v>8</v>
      </c>
      <c r="F4" s="5" t="s">
        <v>49</v>
      </c>
      <c r="G4" s="5">
        <v>1</v>
      </c>
      <c r="H4" s="15">
        <v>96</v>
      </c>
      <c r="I4" s="15">
        <f t="shared" si="0"/>
        <v>96</v>
      </c>
      <c r="J4" s="7" t="s">
        <v>9</v>
      </c>
      <c r="K4" s="7" t="s">
        <v>10</v>
      </c>
    </row>
    <row r="5" spans="1:11" ht="195" x14ac:dyDescent="0.25">
      <c r="A5" s="5">
        <v>4</v>
      </c>
      <c r="B5" s="6" t="s">
        <v>79</v>
      </c>
      <c r="C5" s="6" t="s">
        <v>82</v>
      </c>
      <c r="D5" s="6" t="s">
        <v>81</v>
      </c>
      <c r="E5" s="6" t="s">
        <v>83</v>
      </c>
      <c r="F5" s="5" t="s">
        <v>49</v>
      </c>
      <c r="G5" s="5">
        <v>1</v>
      </c>
      <c r="H5" s="15">
        <v>400</v>
      </c>
      <c r="I5" s="15">
        <f t="shared" si="0"/>
        <v>400</v>
      </c>
      <c r="J5" s="7" t="s">
        <v>80</v>
      </c>
      <c r="K5" s="6"/>
    </row>
    <row r="6" spans="1:11" ht="180" x14ac:dyDescent="0.25">
      <c r="A6" s="5">
        <v>5</v>
      </c>
      <c r="B6" s="6" t="s">
        <v>100</v>
      </c>
      <c r="C6" s="6" t="s">
        <v>98</v>
      </c>
      <c r="D6" s="6" t="s">
        <v>99</v>
      </c>
      <c r="E6" s="6"/>
      <c r="F6" s="5" t="s">
        <v>49</v>
      </c>
      <c r="G6" s="5">
        <v>1</v>
      </c>
      <c r="H6" s="15">
        <v>50</v>
      </c>
      <c r="I6" s="15">
        <f t="shared" si="0"/>
        <v>50</v>
      </c>
      <c r="J6" s="7" t="s">
        <v>97</v>
      </c>
      <c r="K6" s="6"/>
    </row>
    <row r="7" spans="1:11" x14ac:dyDescent="0.25">
      <c r="A7" s="5">
        <v>6</v>
      </c>
      <c r="B7" s="6"/>
      <c r="C7" s="6"/>
      <c r="D7" s="6"/>
      <c r="E7" s="6"/>
      <c r="F7" s="5"/>
      <c r="G7" s="5"/>
      <c r="H7" s="15"/>
      <c r="I7" s="15">
        <f t="shared" si="0"/>
        <v>0</v>
      </c>
      <c r="J7" s="6"/>
      <c r="K7" s="6"/>
    </row>
    <row r="8" spans="1:11" x14ac:dyDescent="0.25">
      <c r="A8" s="5">
        <v>7</v>
      </c>
      <c r="B8" s="6"/>
      <c r="C8" s="6"/>
      <c r="D8" s="6"/>
      <c r="E8" s="6"/>
      <c r="F8" s="5"/>
      <c r="G8" s="5"/>
      <c r="H8" s="15"/>
      <c r="I8" s="15">
        <f t="shared" si="0"/>
        <v>0</v>
      </c>
      <c r="J8" s="6"/>
      <c r="K8" s="6"/>
    </row>
    <row r="9" spans="1:11" x14ac:dyDescent="0.25">
      <c r="A9" s="5">
        <v>8</v>
      </c>
      <c r="B9" s="6"/>
      <c r="C9" s="6"/>
      <c r="D9" s="6"/>
      <c r="E9" s="6"/>
      <c r="F9" s="5"/>
      <c r="G9" s="5"/>
      <c r="H9" s="15"/>
      <c r="I9" s="15">
        <f t="shared" si="0"/>
        <v>0</v>
      </c>
      <c r="J9" s="6"/>
      <c r="K9" s="6"/>
    </row>
    <row r="10" spans="1:11" x14ac:dyDescent="0.25">
      <c r="A10" s="5">
        <v>9</v>
      </c>
      <c r="B10" s="6"/>
      <c r="C10" s="6"/>
      <c r="D10" s="6"/>
      <c r="E10" s="6"/>
      <c r="F10" s="5"/>
      <c r="G10" s="5"/>
      <c r="H10" s="15"/>
      <c r="I10" s="15">
        <f t="shared" si="0"/>
        <v>0</v>
      </c>
      <c r="J10" s="6"/>
      <c r="K10" s="6"/>
    </row>
    <row r="11" spans="1:11" x14ac:dyDescent="0.25">
      <c r="A11" s="5">
        <v>10</v>
      </c>
      <c r="B11" s="6"/>
      <c r="C11" s="6"/>
      <c r="D11" s="6"/>
      <c r="E11" s="6"/>
      <c r="F11" s="5"/>
      <c r="G11" s="5"/>
      <c r="H11" s="15"/>
      <c r="I11" s="15">
        <f t="shared" si="0"/>
        <v>0</v>
      </c>
      <c r="J11" s="6"/>
      <c r="K11" s="6"/>
    </row>
    <row r="12" spans="1:11" x14ac:dyDescent="0.25">
      <c r="A12" s="5">
        <v>11</v>
      </c>
      <c r="B12" s="6"/>
      <c r="C12" s="6"/>
      <c r="D12" s="6"/>
      <c r="E12" s="6"/>
      <c r="F12" s="5"/>
      <c r="G12" s="5"/>
      <c r="H12" s="15"/>
      <c r="I12" s="15">
        <f t="shared" si="0"/>
        <v>0</v>
      </c>
      <c r="J12" s="6"/>
      <c r="K12" s="6"/>
    </row>
    <row r="13" spans="1:11" x14ac:dyDescent="0.25">
      <c r="A13" s="5">
        <v>12</v>
      </c>
      <c r="B13" s="6"/>
      <c r="C13" s="6"/>
      <c r="D13" s="6"/>
      <c r="E13" s="6"/>
      <c r="F13" s="5"/>
      <c r="G13" s="5"/>
      <c r="H13" s="15"/>
      <c r="I13" s="15">
        <f t="shared" si="0"/>
        <v>0</v>
      </c>
      <c r="J13" s="6"/>
      <c r="K13" s="6"/>
    </row>
    <row r="14" spans="1:11" x14ac:dyDescent="0.25">
      <c r="A14" s="13" t="s">
        <v>112</v>
      </c>
      <c r="B14" s="12"/>
      <c r="C14" s="12"/>
      <c r="D14" s="12"/>
      <c r="E14" s="12"/>
      <c r="F14" s="13"/>
      <c r="G14" s="13"/>
      <c r="H14" s="17"/>
      <c r="I14" s="15">
        <f>SUM(I2:I13)</f>
        <v>1001</v>
      </c>
      <c r="J14" s="6"/>
      <c r="K14" s="6"/>
    </row>
  </sheetData>
  <hyperlinks>
    <hyperlink ref="J2" r:id="rId1" xr:uid="{FF59431A-2556-4634-93FB-51DD37E32813}"/>
    <hyperlink ref="K2" r:id="rId2" xr:uid="{E2665F0D-970E-4CAC-8B05-D980037464AA}"/>
    <hyperlink ref="K3" r:id="rId3" xr:uid="{BB1E6544-DF5D-4CB0-B732-A718B46EF284}"/>
    <hyperlink ref="K4" r:id="rId4" xr:uid="{DE89AEE4-F076-4B2C-B395-469644AC03B9}"/>
    <hyperlink ref="J3" r:id="rId5" xr:uid="{22D0B0C5-1A3B-478D-90D3-786C2304EB0F}"/>
    <hyperlink ref="J4" r:id="rId6" xr:uid="{BA2A3B0A-D7BF-4CF9-AA4C-EFAD5A8CAE4F}"/>
    <hyperlink ref="J5" r:id="rId7" xr:uid="{C172330F-B50F-4A87-8DF9-F23CD2572B2E}"/>
    <hyperlink ref="J6" r:id="rId8" xr:uid="{622E1EFE-9AE7-4835-AD34-2D6C59EB66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20251120-required</vt:lpstr>
      <vt:lpstr>20251120-optional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KUMAR GADI</dc:creator>
  <cp:lastModifiedBy>SURESH KUMAR GADI</cp:lastModifiedBy>
  <dcterms:created xsi:type="dcterms:W3CDTF">2025-11-07T16:53:38Z</dcterms:created>
  <dcterms:modified xsi:type="dcterms:W3CDTF">2025-11-21T13:47:17Z</dcterms:modified>
</cp:coreProperties>
</file>